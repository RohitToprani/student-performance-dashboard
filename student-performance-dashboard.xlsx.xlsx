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hidePivotFieldList="1" defaultThemeVersion="166925"/>
  <xr:revisionPtr revIDLastSave="0" documentId="8_{F5A86FA1-B240-4562-A67B-B2FDA2DB44FF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DATA" sheetId="1" r:id="rId1"/>
    <sheet name="PIVOT" sheetId="3" r:id="rId2"/>
    <sheet name="DASHBOARD" sheetId="4" r:id="rId3"/>
  </sheets>
  <definedNames>
    <definedName name="Slicer_Subject">#N/A</definedName>
  </definedNames>
  <calcPr calcId="191028"/>
  <pivotCaches>
    <pivotCache cacheId="51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4" l="1"/>
  <c r="B9" i="4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B11" i="4" l="1"/>
</calcChain>
</file>

<file path=xl/sharedStrings.xml><?xml version="1.0" encoding="utf-8"?>
<sst xmlns="http://schemas.openxmlformats.org/spreadsheetml/2006/main" count="82" uniqueCount="43">
  <si>
    <t>ID</t>
  </si>
  <si>
    <t>Name</t>
  </si>
  <si>
    <t>Subject</t>
  </si>
  <si>
    <t>Marks</t>
  </si>
  <si>
    <t>Result Pass/ Fail</t>
  </si>
  <si>
    <t>Perfromance Level</t>
  </si>
  <si>
    <t>Rohit</t>
  </si>
  <si>
    <t>Maths</t>
  </si>
  <si>
    <t>Amit</t>
  </si>
  <si>
    <t>Physics</t>
  </si>
  <si>
    <t>Neha</t>
  </si>
  <si>
    <t>Chemistry</t>
  </si>
  <si>
    <t>Sara</t>
  </si>
  <si>
    <t>Karan</t>
  </si>
  <si>
    <t>Priya</t>
  </si>
  <si>
    <t>Anuj</t>
  </si>
  <si>
    <t>Rahul</t>
  </si>
  <si>
    <t xml:space="preserve">Sana </t>
  </si>
  <si>
    <t>Riya</t>
  </si>
  <si>
    <t>Nisha</t>
  </si>
  <si>
    <t>Pradnya</t>
  </si>
  <si>
    <t>Asmita</t>
  </si>
  <si>
    <t>Sourabh</t>
  </si>
  <si>
    <t xml:space="preserve">Namrata </t>
  </si>
  <si>
    <t xml:space="preserve">Vishal </t>
  </si>
  <si>
    <t>Pravin</t>
  </si>
  <si>
    <t>Chetan</t>
  </si>
  <si>
    <t>Ganesh</t>
  </si>
  <si>
    <t>Average of Marks</t>
  </si>
  <si>
    <t>Count of Result Pass/ Fail</t>
  </si>
  <si>
    <t>Count of Perfromance Level</t>
  </si>
  <si>
    <t>Fail</t>
  </si>
  <si>
    <t>Average</t>
  </si>
  <si>
    <t>Grand Total</t>
  </si>
  <si>
    <t>Pass</t>
  </si>
  <si>
    <t>Top</t>
  </si>
  <si>
    <t>Weak</t>
  </si>
  <si>
    <t>STUDENTS RESULT</t>
  </si>
  <si>
    <t>Analysis of student results and performance trends</t>
  </si>
  <si>
    <t>Key Metrics</t>
  </si>
  <si>
    <t>Avg Marks</t>
  </si>
  <si>
    <t>Total Students</t>
  </si>
  <si>
    <t>Pass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</si>
</sst>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rgb="FF000000"/>
      <name val="Consolas"/>
    </font>
    <font>
      <b/>
      <sz val="11"/>
      <color rgb="FF305496"/>
      <name val="Century Gothic"/>
    </font>
    <font>
      <b/>
      <sz val="11"/>
      <color rgb="FF000000"/>
      <name val="Century Gothic"/>
    </font>
    <font>
      <sz val="11"/>
      <color theme="1"/>
      <name val="Century Gothic"/>
    </font>
    <font>
      <sz val="11"/>
      <color rgb="FF000000"/>
      <name val="Century Gothic"/>
    </font>
    <font>
      <sz val="11"/>
      <color theme="4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6" fillId="2" borderId="10" xfId="0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wrapText="1"/>
    </xf>
    <xf numFmtId="0" fontId="1" fillId="5" borderId="15" xfId="0" applyFont="1" applyFill="1" applyBorder="1" applyAlignment="1">
      <alignment horizontal="center" wrapText="1"/>
    </xf>
    <xf numFmtId="0" fontId="1" fillId="5" borderId="16" xfId="0" applyFont="1" applyFill="1" applyBorder="1" applyAlignment="1">
      <alignment horizontal="center" wrapText="1"/>
    </xf>
    <xf numFmtId="0" fontId="5" fillId="3" borderId="17" xfId="0" applyFont="1" applyFill="1" applyBorder="1" applyAlignment="1">
      <alignment horizontal="center" wrapText="1"/>
    </xf>
    <xf numFmtId="0" fontId="6" fillId="3" borderId="0" xfId="0" applyFont="1" applyFill="1" applyBorder="1" applyAlignment="1">
      <alignment horizontal="center" wrapText="1"/>
    </xf>
    <xf numFmtId="0" fontId="6" fillId="3" borderId="18" xfId="0" applyFont="1" applyFill="1" applyBorder="1" applyAlignment="1">
      <alignment horizontal="center" wrapText="1"/>
    </xf>
    <xf numFmtId="0" fontId="0" fillId="6" borderId="17" xfId="0" applyFill="1" applyBorder="1"/>
    <xf numFmtId="0" fontId="0" fillId="6" borderId="0" xfId="0" applyFill="1" applyBorder="1"/>
    <xf numFmtId="0" fontId="0" fillId="6" borderId="18" xfId="0" applyFill="1" applyBorder="1"/>
    <xf numFmtId="0" fontId="7" fillId="6" borderId="0" xfId="0" applyFont="1" applyFill="1" applyBorder="1" applyAlignment="1">
      <alignment horizontal="center" wrapText="1"/>
    </xf>
    <xf numFmtId="0" fontId="7" fillId="6" borderId="17" xfId="0" applyFont="1" applyFill="1" applyBorder="1" applyAlignment="1">
      <alignment horizontal="center" wrapText="1"/>
    </xf>
    <xf numFmtId="0" fontId="8" fillId="6" borderId="19" xfId="0" applyFont="1" applyFill="1" applyBorder="1" applyAlignment="1">
      <alignment horizontal="center" wrapText="1"/>
    </xf>
    <xf numFmtId="0" fontId="7" fillId="6" borderId="1" xfId="0" applyFont="1" applyFill="1" applyBorder="1" applyAlignment="1">
      <alignment horizontal="center" wrapText="1"/>
    </xf>
    <xf numFmtId="10" fontId="7" fillId="6" borderId="1" xfId="0" applyNumberFormat="1" applyFont="1" applyFill="1" applyBorder="1" applyAlignment="1">
      <alignment horizontal="center" wrapText="1"/>
    </xf>
    <xf numFmtId="0" fontId="0" fillId="6" borderId="14" xfId="0" applyFill="1" applyBorder="1"/>
    <xf numFmtId="0" fontId="0" fillId="6" borderId="15" xfId="0" applyFill="1" applyBorder="1"/>
    <xf numFmtId="0" fontId="0" fillId="6" borderId="16" xfId="0" applyFill="1" applyBorder="1"/>
    <xf numFmtId="0" fontId="0" fillId="7" borderId="12" xfId="0" applyFill="1" applyBorder="1"/>
    <xf numFmtId="0" fontId="0" fillId="7" borderId="17" xfId="0" applyFill="1" applyBorder="1"/>
    <xf numFmtId="0" fontId="0" fillId="7" borderId="0" xfId="0" applyFill="1" applyBorder="1"/>
    <xf numFmtId="0" fontId="0" fillId="7" borderId="18" xfId="0" applyFill="1" applyBorder="1"/>
    <xf numFmtId="0" fontId="0" fillId="7" borderId="15" xfId="0" applyFill="1" applyBorder="1"/>
    <xf numFmtId="0" fontId="9" fillId="7" borderId="0" xfId="0" applyFont="1" applyFill="1" applyBorder="1"/>
    <xf numFmtId="0" fontId="0" fillId="7" borderId="20" xfId="0" applyFill="1" applyBorder="1"/>
    <xf numFmtId="0" fontId="0" fillId="7" borderId="21" xfId="0" applyFill="1" applyBorder="1"/>
    <xf numFmtId="0" fontId="0" fillId="7" borderId="22" xfId="0" applyFill="1" applyBorder="1"/>
    <xf numFmtId="0" fontId="0" fillId="7" borderId="23" xfId="0" applyFill="1" applyBorder="1"/>
    <xf numFmtId="0" fontId="0" fillId="7" borderId="24" xfId="0" applyFill="1" applyBorder="1"/>
    <xf numFmtId="0" fontId="9" fillId="7" borderId="1" xfId="0" applyFont="1" applyFill="1" applyBorder="1"/>
    <xf numFmtId="0" fontId="0" fillId="7" borderId="1" xfId="0" applyFill="1" applyBorder="1"/>
    <xf numFmtId="0" fontId="0" fillId="7" borderId="1" xfId="0" applyNumberFormat="1" applyFill="1" applyBorder="1"/>
    <xf numFmtId="0" fontId="0" fillId="0" borderId="0" xfId="0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8" borderId="28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10" fillId="8" borderId="25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72"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6" tint="0.79998168889431442"/>
        </patternFill>
      </fill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6" tint="0.79998168889431442"/>
        </patternFill>
      </fill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indexed="64"/>
          <bgColor theme="6" tint="0.79998168889431442"/>
        </patternFill>
      </fill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b val="0"/>
      </font>
    </dxf>
    <dxf>
      <font>
        <color theme="4" tint="-0.249977111117893"/>
      </font>
    </dxf>
    <dxf>
      <font>
        <color theme="4" tint="-0.249977111117893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color theme="4" tint="-0.249977111117893"/>
      </font>
    </dxf>
    <dxf>
      <font>
        <color theme="4" tint="-0.249977111117893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color theme="4" tint="-0.249977111117893"/>
      </font>
    </dxf>
    <dxf>
      <font>
        <color theme="4" tint="-0.249977111117893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[student-performance-dashboard.xlsx]DASHBOARD!PivotTable7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Subject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DASHBOARD!$O$13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DASHBOARD!$N$14:$N$15</c:f>
              <c:strCache>
                <c:ptCount val="1"/>
                <c:pt idx="0">
                  <c:v>Physics</c:v>
                </c:pt>
              </c:strCache>
            </c:strRef>
          </c:cat>
          <c:val>
            <c:numRef>
              <c:f>DASHBOARD!$O$14:$O$15</c:f>
              <c:numCache>
                <c:formatCode>General</c:formatCode>
                <c:ptCount val="1"/>
                <c:pt idx="0">
                  <c:v>59.285714285714285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4-42E0-BA6E-0DD3AEB3A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258311"/>
        <c:axId val="28260359"/>
      </c:barChart>
      <c:catAx>
        <c:axId val="28258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60359"/>
        <c:crosses val="autoZero"/>
        <c:auto val="1"/>
        <c:lblAlgn val="ctr"/>
        <c:lblOffset val="100"/>
        <c:noMultiLvlLbl val="0"/>
      </c:catAx>
      <c:valAx>
        <c:axId val="28260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58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[student-performance-dashboard.xlsx]DASHBOARD!PivotTable6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 vs Fail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DASHBOARD!$R$13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9E-4F86-B045-59DA4CFCBF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9E-4F86-B045-59DA4CFCBF05}"/>
              </c:ext>
            </c:extLst>
          </c:dPt>
          <c:cat>
            <c:strRef>
              <c:f>DASHBOARD!$Q$14:$Q$16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DASHBOARD!$R$14:$R$16</c:f>
              <c:numCache>
                <c:formatCode>General</c:formatCode>
                <c:ptCount val="2"/>
                <c:pt idx="0">
                  <c:v>1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9E-4F86-B045-59DA4CFCB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[student-performance-dashboard.xlsx]DASHBOARD!PivotTable5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DASHBOARD!$U$13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DASHBOARD!$T$14:$T$17</c:f>
              <c:strCache>
                <c:ptCount val="3"/>
                <c:pt idx="0">
                  <c:v>Average</c:v>
                </c:pt>
                <c:pt idx="1">
                  <c:v>Top</c:v>
                </c:pt>
                <c:pt idx="2">
                  <c:v>Weak</c:v>
                </c:pt>
              </c:strCache>
            </c:strRef>
          </c:cat>
          <c:val>
            <c:numRef>
              <c:f>DASHBOARD!$U$14:$U$17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8-416F-91FD-E818D667B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044423"/>
        <c:axId val="102401031"/>
      </c:barChart>
      <c:catAx>
        <c:axId val="90044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01031"/>
        <c:crosses val="autoZero"/>
        <c:auto val="1"/>
        <c:lblAlgn val="ctr"/>
        <c:lblOffset val="100"/>
        <c:noMultiLvlLbl val="0"/>
      </c:catAx>
      <c:valAx>
        <c:axId val="102401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44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12</xdr:row>
      <xdr:rowOff>9525</xdr:rowOff>
    </xdr:from>
    <xdr:to>
      <xdr:col>4</xdr:col>
      <xdr:colOff>485775</xdr:colOff>
      <xdr:row>22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62C019C-7C48-49A9-BD51-071ACB81F180}"/>
            </a:ext>
            <a:ext uri="{147F2762-F138-4A5C-976F-8EAC2B608ADB}">
              <a16:predDERef xmlns:a16="http://schemas.microsoft.com/office/drawing/2014/main" pred="{EF650A01-9B06-4277-9502-7555143FF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333375</xdr:colOff>
      <xdr:row>5</xdr:row>
      <xdr:rowOff>142875</xdr:rowOff>
    </xdr:from>
    <xdr:to>
      <xdr:col>11</xdr:col>
      <xdr:colOff>333375</xdr:colOff>
      <xdr:row>11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Subject">
              <a:extLst>
                <a:ext uri="{FF2B5EF4-FFF2-40B4-BE49-F238E27FC236}">
                  <a16:creationId xmlns:a16="http://schemas.microsoft.com/office/drawing/2014/main" id="{5CE8A4BB-7D48-8AA7-29D8-ED4104E1FE3F}"/>
                </a:ext>
                <a:ext uri="{147F2762-F138-4A5C-976F-8EAC2B608ADB}">
                  <a16:predDERef xmlns:a16="http://schemas.microsoft.com/office/drawing/2014/main" pred="{B62C019C-7C48-49A9-BD51-071ACB81F1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je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29325" y="1095375"/>
              <a:ext cx="1828800" cy="1095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5</xdr:col>
      <xdr:colOff>47625</xdr:colOff>
      <xdr:row>12</xdr:row>
      <xdr:rowOff>19050</xdr:rowOff>
    </xdr:from>
    <xdr:to>
      <xdr:col>11</xdr:col>
      <xdr:colOff>276225</xdr:colOff>
      <xdr:row>22</xdr:row>
      <xdr:rowOff>161925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E3052FF-D2D5-4DF0-BFD6-009AFCF61DB6}"/>
            </a:ext>
            <a:ext uri="{147F2762-F138-4A5C-976F-8EAC2B608ADB}">
              <a16:predDERef xmlns:a16="http://schemas.microsoft.com/office/drawing/2014/main" pred="{5CE8A4BB-7D48-8AA7-29D8-ED4104E1F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381000</xdr:colOff>
      <xdr:row>28</xdr:row>
      <xdr:rowOff>47625</xdr:rowOff>
    </xdr:from>
    <xdr:to>
      <xdr:col>8</xdr:col>
      <xdr:colOff>257175</xdr:colOff>
      <xdr:row>41</xdr:row>
      <xdr:rowOff>9525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D871467-FD05-AFD9-8674-A53050669779}"/>
            </a:ext>
            <a:ext uri="{147F2762-F138-4A5C-976F-8EAC2B608ADB}">
              <a16:predDERef xmlns:a16="http://schemas.microsoft.com/office/drawing/2014/main" pred="{2E59BE80-10A4-0DDF-BBC6-141BAA5C0C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2.082837615744" createdVersion="8" refreshedVersion="8" minRefreshableVersion="3" recordCount="20" xr:uid="{03AF8F05-6A00-426E-8A27-C698C6D37EA3}">
  <cacheSource type="worksheet">
    <worksheetSource name="Table1"/>
  </cacheSource>
  <cacheFields count="6">
    <cacheField name="ID" numFmtId="0">
      <sharedItems containsSemiMixedTypes="0" containsString="0" containsNumber="1" containsInteger="1" minValue="101" maxValue="120"/>
    </cacheField>
    <cacheField name="Name" numFmtId="0">
      <sharedItems/>
    </cacheField>
    <cacheField name="Subject" numFmtId="0">
      <sharedItems count="3">
        <s v="Maths"/>
        <s v="Physics"/>
        <s v="Chemistry"/>
      </sharedItems>
    </cacheField>
    <cacheField name="Marks" numFmtId="0">
      <sharedItems containsSemiMixedTypes="0" containsString="0" containsNumber="1" containsInteger="1" minValue="30" maxValue="95"/>
    </cacheField>
    <cacheField name="Result Pass/ Fail" numFmtId="0">
      <sharedItems count="2">
        <s v="Pass"/>
        <s v="Fail"/>
      </sharedItems>
    </cacheField>
    <cacheField name="Perfromance Level" numFmtId="0">
      <sharedItems count="3">
        <s v="Top"/>
        <s v="Average"/>
        <s v="Weak"/>
      </sharedItems>
    </cacheField>
  </cacheFields>
  <extLst>
    <ext xmlns:x14="http://schemas.microsoft.com/office/spreadsheetml/2009/9/main" uri="{725AE2AE-9491-48be-B2B4-4EB974FC3084}">
      <x14:pivotCacheDefinition pivotCacheId="2934387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1"/>
    <s v="Rohit"/>
    <x v="0"/>
    <n v="90"/>
    <x v="0"/>
    <x v="0"/>
  </r>
  <r>
    <n v="102"/>
    <s v="Amit"/>
    <x v="1"/>
    <n v="45"/>
    <x v="0"/>
    <x v="1"/>
  </r>
  <r>
    <n v="103"/>
    <s v="Neha"/>
    <x v="2"/>
    <n v="78"/>
    <x v="0"/>
    <x v="0"/>
  </r>
  <r>
    <n v="104"/>
    <s v="Sara"/>
    <x v="0"/>
    <n v="35"/>
    <x v="1"/>
    <x v="2"/>
  </r>
  <r>
    <n v="105"/>
    <s v="Karan"/>
    <x v="1"/>
    <n v="88"/>
    <x v="0"/>
    <x v="0"/>
  </r>
  <r>
    <n v="106"/>
    <s v="Priya"/>
    <x v="2"/>
    <n v="92"/>
    <x v="0"/>
    <x v="0"/>
  </r>
  <r>
    <n v="107"/>
    <s v="Anuj"/>
    <x v="0"/>
    <n v="60"/>
    <x v="0"/>
    <x v="1"/>
  </r>
  <r>
    <n v="108"/>
    <s v="Rahul"/>
    <x v="1"/>
    <n v="30"/>
    <x v="1"/>
    <x v="2"/>
  </r>
  <r>
    <n v="109"/>
    <s v="Sana "/>
    <x v="0"/>
    <n v="35"/>
    <x v="1"/>
    <x v="2"/>
  </r>
  <r>
    <n v="110"/>
    <s v="Riya"/>
    <x v="1"/>
    <n v="55"/>
    <x v="0"/>
    <x v="1"/>
  </r>
  <r>
    <n v="111"/>
    <s v="Nisha"/>
    <x v="2"/>
    <n v="60"/>
    <x v="0"/>
    <x v="1"/>
  </r>
  <r>
    <n v="112"/>
    <s v="Pradnya"/>
    <x v="0"/>
    <n v="70"/>
    <x v="0"/>
    <x v="1"/>
  </r>
  <r>
    <n v="113"/>
    <s v="Asmita"/>
    <x v="1"/>
    <n v="75"/>
    <x v="0"/>
    <x v="0"/>
  </r>
  <r>
    <n v="114"/>
    <s v="Sourabh"/>
    <x v="2"/>
    <n v="88"/>
    <x v="0"/>
    <x v="0"/>
  </r>
  <r>
    <n v="115"/>
    <s v="Namrata "/>
    <x v="0"/>
    <n v="45"/>
    <x v="0"/>
    <x v="1"/>
  </r>
  <r>
    <n v="116"/>
    <s v="Vishal "/>
    <x v="1"/>
    <n v="66"/>
    <x v="0"/>
    <x v="1"/>
  </r>
  <r>
    <n v="117"/>
    <s v="Pravin"/>
    <x v="0"/>
    <n v="38"/>
    <x v="1"/>
    <x v="2"/>
  </r>
  <r>
    <n v="118"/>
    <s v="Chetan"/>
    <x v="1"/>
    <n v="56"/>
    <x v="0"/>
    <x v="1"/>
  </r>
  <r>
    <n v="119"/>
    <s v="Karan"/>
    <x v="2"/>
    <n v="77"/>
    <x v="0"/>
    <x v="0"/>
  </r>
  <r>
    <n v="120"/>
    <s v="Ganesh"/>
    <x v="0"/>
    <n v="95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63673-900F-4887-969F-7884EE076452}" name="PivotTable3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H3:I7" firstHeaderRow="1" firstDataRow="1" firstDataCol="1"/>
  <pivotFields count="6">
    <pivotField compact="0" outline="0" showAll="0"/>
    <pivotField compact="0" outline="0" showAll="0"/>
    <pivotField compact="0" outline="0" showAll="0">
      <items count="4">
        <item h="1" x="2"/>
        <item x="0"/>
        <item h="1" x="1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axis="axisRow" dataField="1" compact="0" outline="0" showAll="0">
      <items count="4">
        <item x="1"/>
        <item x="0"/>
        <item x="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erfromance Level" fld="5" subtotal="count" baseField="0" baseItem="0"/>
  </dataFields>
  <formats count="20">
    <format dxfId="52">
      <pivotArea type="all" dataOnly="0" outline="0" fieldPosition="0"/>
    </format>
    <format dxfId="53">
      <pivotArea outline="0" collapsedLevelsAreSubtotals="1" fieldPosition="0"/>
    </format>
    <format dxfId="54">
      <pivotArea field="5" type="button" dataOnly="0" labelOnly="1" outline="0" axis="axisRow" fieldPosition="0"/>
    </format>
    <format dxfId="55">
      <pivotArea dataOnly="0" labelOnly="1" outline="0" fieldPosition="0">
        <references count="1">
          <reference field="5" count="0"/>
        </references>
      </pivotArea>
    </format>
    <format dxfId="56">
      <pivotArea dataOnly="0" labelOnly="1" grandRow="1" outline="0" fieldPosition="0"/>
    </format>
    <format dxfId="57">
      <pivotArea dataOnly="0" labelOnly="1" outline="0" axis="axisValues" fieldPosition="0"/>
    </format>
    <format dxfId="58">
      <pivotArea type="all" dataOnly="0" outline="0" fieldPosition="0"/>
    </format>
    <format dxfId="59">
      <pivotArea outline="0" collapsedLevelsAreSubtotals="1" fieldPosition="0"/>
    </format>
    <format dxfId="60">
      <pivotArea field="5" type="button" dataOnly="0" labelOnly="1" outline="0" axis="axisRow" fieldPosition="0"/>
    </format>
    <format dxfId="61">
      <pivotArea dataOnly="0" labelOnly="1" outline="0" fieldPosition="0">
        <references count="1">
          <reference field="5" count="0"/>
        </references>
      </pivotArea>
    </format>
    <format dxfId="62">
      <pivotArea dataOnly="0" labelOnly="1" grandRow="1" outline="0" fieldPosition="0"/>
    </format>
    <format dxfId="63">
      <pivotArea dataOnly="0" labelOnly="1" outline="0" axis="axisValues" fieldPosition="0"/>
    </format>
    <format dxfId="64">
      <pivotArea field="5" type="button" dataOnly="0" labelOnly="1" outline="0" axis="axisRow" fieldPosition="0"/>
    </format>
    <format dxfId="65">
      <pivotArea dataOnly="0" labelOnly="1" outline="0" axis="axisValues" fieldPosition="0"/>
    </format>
    <format dxfId="66">
      <pivotArea type="all" dataOnly="0" outline="0" fieldPosition="0"/>
    </format>
    <format dxfId="67">
      <pivotArea outline="0" collapsedLevelsAreSubtotals="1" fieldPosition="0"/>
    </format>
    <format dxfId="68">
      <pivotArea field="5" type="button" dataOnly="0" labelOnly="1" outline="0" axis="axisRow" fieldPosition="0"/>
    </format>
    <format dxfId="69">
      <pivotArea dataOnly="0" labelOnly="1" outline="0" fieldPosition="0">
        <references count="1">
          <reference field="5" count="0"/>
        </references>
      </pivotArea>
    </format>
    <format dxfId="70">
      <pivotArea dataOnly="0" labelOnly="1" grandRow="1" outline="0" fieldPosition="0"/>
    </format>
    <format dxfId="71">
      <pivotArea dataOnly="0" labelOnly="1" outline="0" axis="axisValues" fieldPosition="0"/>
    </format>
  </format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2F61C-B73E-4275-B064-31CC2E9566EA}" name="PivotTable2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E3:F6" firstHeaderRow="1" firstDataRow="1" firstDataCol="1"/>
  <pivotFields count="6">
    <pivotField compact="0" outline="0" showAll="0"/>
    <pivotField compact="0" outline="0" showAll="0"/>
    <pivotField compact="0" outline="0" showAll="0">
      <items count="4">
        <item h="1" x="2"/>
        <item x="0"/>
        <item h="1" x="1"/>
        <item t="default"/>
      </items>
    </pivotField>
    <pivotField compact="0" outline="0" showAll="0"/>
    <pivotField axis="axisRow" dataField="1" compact="0" outline="0" showAll="0">
      <items count="3">
        <item x="1"/>
        <item x="0"/>
        <item t="default"/>
      </items>
    </pivotField>
    <pivotField compact="0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Result Pass/ Fail" fld="4" subtotal="count" baseField="0" baseItem="0"/>
  </dataFields>
  <formats count="20">
    <format dxfId="32">
      <pivotArea type="all" dataOnly="0" outline="0" fieldPosition="0"/>
    </format>
    <format dxfId="33">
      <pivotArea outline="0" collapsedLevelsAreSubtotals="1" fieldPosition="0"/>
    </format>
    <format dxfId="34">
      <pivotArea field="4" type="button" dataOnly="0" labelOnly="1" outline="0" axis="axisRow" fieldPosition="0"/>
    </format>
    <format dxfId="35">
      <pivotArea dataOnly="0" labelOnly="1" outline="0" fieldPosition="0">
        <references count="1">
          <reference field="4" count="0"/>
        </references>
      </pivotArea>
    </format>
    <format dxfId="36">
      <pivotArea dataOnly="0" labelOnly="1" grandRow="1" outline="0" fieldPosition="0"/>
    </format>
    <format dxfId="37">
      <pivotArea dataOnly="0" labelOnly="1" outline="0" axis="axisValues" fieldPosition="0"/>
    </format>
    <format dxfId="38">
      <pivotArea type="all" dataOnly="0" outline="0" fieldPosition="0"/>
    </format>
    <format dxfId="39">
      <pivotArea outline="0" collapsedLevelsAreSubtotals="1" fieldPosition="0"/>
    </format>
    <format dxfId="40">
      <pivotArea field="4" type="button" dataOnly="0" labelOnly="1" outline="0" axis="axisRow" fieldPosition="0"/>
    </format>
    <format dxfId="41">
      <pivotArea dataOnly="0" labelOnly="1" outline="0" fieldPosition="0">
        <references count="1">
          <reference field="4" count="0"/>
        </references>
      </pivotArea>
    </format>
    <format dxfId="42">
      <pivotArea dataOnly="0" labelOnly="1" grandRow="1" outline="0" fieldPosition="0"/>
    </format>
    <format dxfId="43">
      <pivotArea dataOnly="0" labelOnly="1" outline="0" axis="axisValues" fieldPosition="0"/>
    </format>
    <format dxfId="44">
      <pivotArea field="4" type="button" dataOnly="0" labelOnly="1" outline="0" axis="axisRow" fieldPosition="0"/>
    </format>
    <format dxfId="45">
      <pivotArea dataOnly="0" labelOnly="1" outline="0" axis="axisValues" fieldPosition="0"/>
    </format>
    <format dxfId="46">
      <pivotArea type="all" dataOnly="0" outline="0" fieldPosition="0"/>
    </format>
    <format dxfId="47">
      <pivotArea outline="0" collapsedLevelsAreSubtotals="1" fieldPosition="0"/>
    </format>
    <format dxfId="48">
      <pivotArea field="4" type="button" dataOnly="0" labelOnly="1" outline="0" axis="axisRow" fieldPosition="0"/>
    </format>
    <format dxfId="49">
      <pivotArea dataOnly="0" labelOnly="1" outline="0" fieldPosition="0">
        <references count="1">
          <reference field="4" count="0"/>
        </references>
      </pivotArea>
    </format>
    <format dxfId="50">
      <pivotArea dataOnly="0" labelOnly="1" grandRow="1" outline="0" fieldPosition="0"/>
    </format>
    <format dxfId="51">
      <pivotArea dataOnly="0" labelOnly="1" outline="0" axis="axisValues" fieldPosition="0"/>
    </format>
  </formats>
  <chartFormats count="1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60601-7BB6-48F7-A67C-01F3791C992C}" name="PivotTable1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B3:C5" firstHeaderRow="1" firstDataRow="1" firstDataCol="1"/>
  <pivotFields count="6">
    <pivotField compact="0" outline="0" showAll="0"/>
    <pivotField compact="0" outline="0" showAll="0"/>
    <pivotField axis="axisRow" compact="0" outline="0" showAll="0">
      <items count="4">
        <item h="1" x="2"/>
        <item x="0"/>
        <item h="1" x="1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2"/>
  </rowFields>
  <rowItems count="2">
    <i>
      <x v="1"/>
    </i>
    <i t="grand">
      <x/>
    </i>
  </rowItems>
  <colItems count="1">
    <i/>
  </colItems>
  <dataFields count="1">
    <dataField name="Average of Marks" fld="3" subtotal="average" baseField="0" baseItem="0"/>
  </dataFields>
  <formats count="21">
    <format dxfId="11">
      <pivotArea type="all" dataOnly="0" outline="0" fieldPosition="0"/>
    </format>
    <format dxfId="12">
      <pivotArea outline="0" collapsedLevelsAreSubtotals="1" fieldPosition="0"/>
    </format>
    <format dxfId="13">
      <pivotArea field="2" type="button" dataOnly="0" labelOnly="1" outline="0" axis="axisRow" fieldPosition="0"/>
    </format>
    <format dxfId="14">
      <pivotArea dataOnly="0" labelOnly="1" outline="0" fieldPosition="0">
        <references count="1">
          <reference field="2" count="0"/>
        </references>
      </pivotArea>
    </format>
    <format dxfId="15">
      <pivotArea dataOnly="0" labelOnly="1" grandRow="1" outline="0" fieldPosition="0"/>
    </format>
    <format dxfId="16">
      <pivotArea dataOnly="0" labelOnly="1" outline="0" axis="axisValues" fieldPosition="0"/>
    </format>
    <format dxfId="17">
      <pivotArea type="all" dataOnly="0" outline="0" fieldPosition="0"/>
    </format>
    <format dxfId="18">
      <pivotArea outline="0" collapsedLevelsAreSubtotals="1" fieldPosition="0"/>
    </format>
    <format dxfId="19">
      <pivotArea field="2" type="button" dataOnly="0" labelOnly="1" outline="0" axis="axisRow" fieldPosition="0"/>
    </format>
    <format dxfId="20">
      <pivotArea dataOnly="0" labelOnly="1" outline="0" fieldPosition="0">
        <references count="1">
          <reference field="2" count="0"/>
        </references>
      </pivotArea>
    </format>
    <format dxfId="21">
      <pivotArea dataOnly="0" labelOnly="1" grandRow="1" outline="0" fieldPosition="0"/>
    </format>
    <format dxfId="22">
      <pivotArea dataOnly="0" labelOnly="1" outline="0" axis="axisValues" fieldPosition="0"/>
    </format>
    <format dxfId="23">
      <pivotArea field="2" type="button" dataOnly="0" labelOnly="1" outline="0" axis="axisRow" fieldPosition="0"/>
    </format>
    <format dxfId="24">
      <pivotArea field="2" type="button" dataOnly="0" labelOnly="1" outline="0" axis="axisRow" fieldPosition="0"/>
    </format>
    <format dxfId="25">
      <pivotArea dataOnly="0" labelOnly="1" outline="0" axis="axisValues" fieldPosition="0"/>
    </format>
    <format dxfId="26">
      <pivotArea type="all" dataOnly="0" outline="0" fieldPosition="0"/>
    </format>
    <format dxfId="27">
      <pivotArea outline="0" collapsedLevelsAreSubtotals="1" fieldPosition="0"/>
    </format>
    <format dxfId="28">
      <pivotArea field="2" type="button" dataOnly="0" labelOnly="1" outline="0" axis="axisRow" fieldPosition="0"/>
    </format>
    <format dxfId="29">
      <pivotArea dataOnly="0" labelOnly="1" outline="0" fieldPosition="0">
        <references count="1">
          <reference field="2" count="0"/>
        </references>
      </pivotArea>
    </format>
    <format dxfId="30">
      <pivotArea dataOnly="0" labelOnly="1" grandRow="1" outline="0" fieldPosition="0"/>
    </format>
    <format dxfId="31">
      <pivotArea dataOnly="0" labelOnly="1" outline="0" axis="axisValues" fieldPosition="0"/>
    </format>
  </format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EBDFD-B8FE-4B5D-A5F9-7325EA53D27D}" name="PivotTable7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N13:O15" firstHeaderRow="1" firstDataRow="1" firstDataCol="1"/>
  <pivotFields count="6">
    <pivotField compact="0" outline="0" showAll="0"/>
    <pivotField compact="0" outline="0" showAll="0"/>
    <pivotField axis="axisRow" compact="0" outline="0" showAll="0">
      <items count="4">
        <item h="1" x="2"/>
        <item h="1" x="0"/>
        <item x="1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2"/>
  </rowFields>
  <rowItems count="2">
    <i>
      <x v="2"/>
    </i>
    <i t="grand">
      <x/>
    </i>
  </rowItems>
  <colItems count="1">
    <i/>
  </colItems>
  <dataFields count="1">
    <dataField name="Average of Marks" fld="3" subtotal="average" baseField="0" baseItem="0"/>
  </dataField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8BDE0-4464-4F55-AB09-5DF506B76A08}" name="PivotTable6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Q13:R16" firstHeaderRow="1" firstDataRow="1" firstDataCol="1"/>
  <pivotFields count="6">
    <pivotField compact="0" outline="0" showAll="0"/>
    <pivotField compact="0" outline="0" showAll="0"/>
    <pivotField compact="0" outline="0" showAll="0">
      <items count="4">
        <item h="1" x="2"/>
        <item h="1" x="0"/>
        <item x="1"/>
        <item t="default"/>
      </items>
    </pivotField>
    <pivotField compact="0" outline="0" showAll="0"/>
    <pivotField axis="axisRow" dataField="1" compact="0" outline="0" showAll="0">
      <items count="3">
        <item x="1"/>
        <item x="0"/>
        <item t="default"/>
      </items>
    </pivotField>
    <pivotField compact="0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Result Pass/ Fail" fld="4" subtotal="count" baseField="0" baseItem="0"/>
  </dataFields>
  <chartFormats count="2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404E5-637D-473B-BDF2-F084ABB18718}" name="PivotTable5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T13:U17" firstHeaderRow="1" firstDataRow="1" firstDataCol="1"/>
  <pivotFields count="6">
    <pivotField compact="0" outline="0" showAll="0"/>
    <pivotField compact="0" outline="0" showAll="0"/>
    <pivotField compact="0" outline="0" showAll="0">
      <items count="4">
        <item h="1" x="2"/>
        <item h="1" x="0"/>
        <item x="1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axis="axisRow" dataField="1" compact="0" outline="0" showAll="0">
      <items count="4">
        <item x="1"/>
        <item x="0"/>
        <item x="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erfromance Level" fld="5" subtotal="count" baseField="0" baseItem="0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ubject" xr10:uid="{3C7CFE4E-B531-4B59-B697-2DFE49E01F56}" sourceName="Subject">
  <pivotTables>
    <pivotTable tabId="4" name="PivotTable5"/>
    <pivotTable tabId="4" name="PivotTable6"/>
    <pivotTable tabId="4" name="PivotTable7"/>
  </pivotTables>
  <data>
    <tabular pivotCacheId="293438747">
      <items count="3">
        <i x="2"/>
        <i x="0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ject" xr10:uid="{7210F8A7-505D-4C91-801D-9E345555CF0F}" cache="Slicer_Subject" caption="Subject" startItem="1" lockedPosition="1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8E0E64-0667-4572-AC80-9E285718B353}" name="Table1" displayName="Table1" ref="B2:G22" totalsRowShown="0" headerRowDxfId="10" dataDxfId="9" headerRowBorderDxfId="7" tableBorderDxfId="8" totalsRowBorderDxfId="6">
  <autoFilter ref="B2:G22" xr:uid="{F08E0E64-0667-4572-AC80-9E285718B353}"/>
  <tableColumns count="6">
    <tableColumn id="1" xr3:uid="{17B753C1-99A1-4EDC-A23F-B4853D4C5363}" name="ID" dataDxfId="5"/>
    <tableColumn id="2" xr3:uid="{4DCB6891-64B1-418C-8EC1-94B0B1901811}" name="Name" dataDxfId="4"/>
    <tableColumn id="3" xr3:uid="{105576F5-9D74-49AA-9994-1BB4B1216969}" name="Subject" dataDxfId="3"/>
    <tableColumn id="4" xr3:uid="{A40BF155-E833-4BF5-9519-09A977CD4736}" name="Marks" dataDxfId="2"/>
    <tableColumn id="5" xr3:uid="{FAA50BD8-5595-48BC-BDED-DBE8CD56B62D}" name="Result Pass/ Fail" dataDxfId="1">
      <calculatedColumnFormula>IF(E3&gt;=40,"Pass","Fail")</calculatedColumnFormula>
    </tableColumn>
    <tableColumn id="6" xr3:uid="{BDB8ED8F-0C30-41E9-A414-6ACF656F9885}" name="Perfromance Level" dataDxfId="0">
      <calculatedColumnFormula>IF(E3&gt;=75,"Top",IF(E3&gt;=40,"Average","Weak"))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showGridLines="0" workbookViewId="0">
      <selection activeCell="K6" sqref="K6"/>
    </sheetView>
  </sheetViews>
  <sheetFormatPr defaultRowHeight="15"/>
  <cols>
    <col min="1" max="1" width="2.7109375" style="1" customWidth="1"/>
    <col min="2" max="2" width="5.85546875" style="1" bestFit="1" customWidth="1"/>
    <col min="3" max="3" width="10.140625" style="1" bestFit="1" customWidth="1"/>
    <col min="4" max="4" width="11.7109375" style="1" bestFit="1" customWidth="1"/>
    <col min="5" max="5" width="10.42578125" style="1" bestFit="1" customWidth="1"/>
    <col min="6" max="6" width="21.7109375" style="1" bestFit="1" customWidth="1"/>
    <col min="7" max="7" width="24.42578125" style="1" bestFit="1" customWidth="1"/>
    <col min="8" max="8" width="3" style="1" customWidth="1"/>
    <col min="9" max="16384" width="9.140625" style="1"/>
  </cols>
  <sheetData>
    <row r="1" spans="1:9">
      <c r="A1" s="43"/>
      <c r="B1" s="44"/>
      <c r="C1" s="44"/>
      <c r="D1" s="44"/>
      <c r="E1" s="44"/>
      <c r="F1" s="44"/>
      <c r="G1" s="44"/>
      <c r="H1" s="45"/>
      <c r="I1" s="42"/>
    </row>
    <row r="2" spans="1:9" s="59" customFormat="1" ht="18.75">
      <c r="A2" s="55"/>
      <c r="B2" s="56" t="s">
        <v>0</v>
      </c>
      <c r="C2" s="57" t="s">
        <v>1</v>
      </c>
      <c r="D2" s="57" t="s">
        <v>2</v>
      </c>
      <c r="E2" s="57" t="s">
        <v>3</v>
      </c>
      <c r="F2" s="57" t="s">
        <v>4</v>
      </c>
      <c r="G2" s="58" t="s">
        <v>5</v>
      </c>
      <c r="H2" s="55"/>
    </row>
    <row r="3" spans="1:9">
      <c r="A3" s="46"/>
      <c r="B3" s="47">
        <v>101</v>
      </c>
      <c r="C3" s="48" t="s">
        <v>6</v>
      </c>
      <c r="D3" s="48" t="s">
        <v>7</v>
      </c>
      <c r="E3" s="48">
        <v>90</v>
      </c>
      <c r="F3" s="49" t="str">
        <f t="shared" ref="F3:F22" si="0">IF(E3&gt;=40,"Pass","Fail")</f>
        <v>Pass</v>
      </c>
      <c r="G3" s="50" t="str">
        <f t="shared" ref="G3:G22" si="1">IF(E3&gt;=75,"Top",IF(E3&gt;=40,"Average","Weak"))</f>
        <v>Top</v>
      </c>
      <c r="H3" s="46"/>
    </row>
    <row r="4" spans="1:9">
      <c r="A4" s="46"/>
      <c r="B4" s="47">
        <v>102</v>
      </c>
      <c r="C4" s="48" t="s">
        <v>8</v>
      </c>
      <c r="D4" s="48" t="s">
        <v>9</v>
      </c>
      <c r="E4" s="48">
        <v>45</v>
      </c>
      <c r="F4" s="49" t="str">
        <f t="shared" si="0"/>
        <v>Pass</v>
      </c>
      <c r="G4" s="50" t="str">
        <f t="shared" si="1"/>
        <v>Average</v>
      </c>
      <c r="H4" s="46"/>
    </row>
    <row r="5" spans="1:9">
      <c r="A5" s="46"/>
      <c r="B5" s="47">
        <v>103</v>
      </c>
      <c r="C5" s="48" t="s">
        <v>10</v>
      </c>
      <c r="D5" s="48" t="s">
        <v>11</v>
      </c>
      <c r="E5" s="48">
        <v>78</v>
      </c>
      <c r="F5" s="49" t="str">
        <f t="shared" si="0"/>
        <v>Pass</v>
      </c>
      <c r="G5" s="50" t="str">
        <f t="shared" si="1"/>
        <v>Top</v>
      </c>
      <c r="H5" s="46"/>
    </row>
    <row r="6" spans="1:9">
      <c r="A6" s="46"/>
      <c r="B6" s="47">
        <v>104</v>
      </c>
      <c r="C6" s="48" t="s">
        <v>12</v>
      </c>
      <c r="D6" s="48" t="s">
        <v>7</v>
      </c>
      <c r="E6" s="48">
        <v>35</v>
      </c>
      <c r="F6" s="49" t="str">
        <f t="shared" si="0"/>
        <v>Fail</v>
      </c>
      <c r="G6" s="50" t="str">
        <f t="shared" si="1"/>
        <v>Weak</v>
      </c>
      <c r="H6" s="46"/>
    </row>
    <row r="7" spans="1:9">
      <c r="A7" s="46"/>
      <c r="B7" s="47">
        <v>105</v>
      </c>
      <c r="C7" s="48" t="s">
        <v>13</v>
      </c>
      <c r="D7" s="48" t="s">
        <v>9</v>
      </c>
      <c r="E7" s="48">
        <v>88</v>
      </c>
      <c r="F7" s="49" t="str">
        <f t="shared" si="0"/>
        <v>Pass</v>
      </c>
      <c r="G7" s="50" t="str">
        <f t="shared" si="1"/>
        <v>Top</v>
      </c>
      <c r="H7" s="46"/>
    </row>
    <row r="8" spans="1:9">
      <c r="A8" s="46"/>
      <c r="B8" s="47">
        <v>106</v>
      </c>
      <c r="C8" s="48" t="s">
        <v>14</v>
      </c>
      <c r="D8" s="48" t="s">
        <v>11</v>
      </c>
      <c r="E8" s="48">
        <v>92</v>
      </c>
      <c r="F8" s="49" t="str">
        <f t="shared" si="0"/>
        <v>Pass</v>
      </c>
      <c r="G8" s="50" t="str">
        <f t="shared" si="1"/>
        <v>Top</v>
      </c>
      <c r="H8" s="46"/>
    </row>
    <row r="9" spans="1:9">
      <c r="A9" s="46"/>
      <c r="B9" s="47">
        <v>107</v>
      </c>
      <c r="C9" s="48" t="s">
        <v>15</v>
      </c>
      <c r="D9" s="48" t="s">
        <v>7</v>
      </c>
      <c r="E9" s="48">
        <v>60</v>
      </c>
      <c r="F9" s="49" t="str">
        <f t="shared" si="0"/>
        <v>Pass</v>
      </c>
      <c r="G9" s="50" t="str">
        <f t="shared" si="1"/>
        <v>Average</v>
      </c>
      <c r="H9" s="46"/>
    </row>
    <row r="10" spans="1:9">
      <c r="A10" s="46"/>
      <c r="B10" s="47">
        <v>108</v>
      </c>
      <c r="C10" s="48" t="s">
        <v>16</v>
      </c>
      <c r="D10" s="48" t="s">
        <v>9</v>
      </c>
      <c r="E10" s="48">
        <v>30</v>
      </c>
      <c r="F10" s="49" t="str">
        <f t="shared" si="0"/>
        <v>Fail</v>
      </c>
      <c r="G10" s="50" t="str">
        <f t="shared" si="1"/>
        <v>Weak</v>
      </c>
      <c r="H10" s="46"/>
    </row>
    <row r="11" spans="1:9">
      <c r="A11" s="46"/>
      <c r="B11" s="47">
        <v>109</v>
      </c>
      <c r="C11" s="49" t="s">
        <v>17</v>
      </c>
      <c r="D11" s="48" t="s">
        <v>7</v>
      </c>
      <c r="E11" s="49">
        <v>35</v>
      </c>
      <c r="F11" s="49" t="str">
        <f t="shared" si="0"/>
        <v>Fail</v>
      </c>
      <c r="G11" s="50" t="str">
        <f t="shared" si="1"/>
        <v>Weak</v>
      </c>
      <c r="H11" s="46"/>
    </row>
    <row r="12" spans="1:9">
      <c r="A12" s="46"/>
      <c r="B12" s="47">
        <v>110</v>
      </c>
      <c r="C12" s="49" t="s">
        <v>18</v>
      </c>
      <c r="D12" s="48" t="s">
        <v>9</v>
      </c>
      <c r="E12" s="49">
        <v>55</v>
      </c>
      <c r="F12" s="49" t="str">
        <f t="shared" si="0"/>
        <v>Pass</v>
      </c>
      <c r="G12" s="50" t="str">
        <f t="shared" si="1"/>
        <v>Average</v>
      </c>
      <c r="H12" s="46"/>
    </row>
    <row r="13" spans="1:9">
      <c r="A13" s="46"/>
      <c r="B13" s="47">
        <v>111</v>
      </c>
      <c r="C13" s="49" t="s">
        <v>19</v>
      </c>
      <c r="D13" s="48" t="s">
        <v>11</v>
      </c>
      <c r="E13" s="49">
        <v>60</v>
      </c>
      <c r="F13" s="49" t="str">
        <f t="shared" si="0"/>
        <v>Pass</v>
      </c>
      <c r="G13" s="50" t="str">
        <f t="shared" si="1"/>
        <v>Average</v>
      </c>
      <c r="H13" s="46"/>
    </row>
    <row r="14" spans="1:9">
      <c r="A14" s="46"/>
      <c r="B14" s="47">
        <v>112</v>
      </c>
      <c r="C14" s="49" t="s">
        <v>20</v>
      </c>
      <c r="D14" s="48" t="s">
        <v>7</v>
      </c>
      <c r="E14" s="49">
        <v>70</v>
      </c>
      <c r="F14" s="49" t="str">
        <f t="shared" si="0"/>
        <v>Pass</v>
      </c>
      <c r="G14" s="50" t="str">
        <f t="shared" si="1"/>
        <v>Average</v>
      </c>
      <c r="H14" s="46"/>
    </row>
    <row r="15" spans="1:9">
      <c r="A15" s="46"/>
      <c r="B15" s="47">
        <v>113</v>
      </c>
      <c r="C15" s="49" t="s">
        <v>21</v>
      </c>
      <c r="D15" s="48" t="s">
        <v>9</v>
      </c>
      <c r="E15" s="49">
        <v>75</v>
      </c>
      <c r="F15" s="49" t="str">
        <f t="shared" si="0"/>
        <v>Pass</v>
      </c>
      <c r="G15" s="50" t="str">
        <f t="shared" si="1"/>
        <v>Top</v>
      </c>
      <c r="H15" s="46"/>
    </row>
    <row r="16" spans="1:9">
      <c r="A16" s="46"/>
      <c r="B16" s="47">
        <v>114</v>
      </c>
      <c r="C16" s="49" t="s">
        <v>22</v>
      </c>
      <c r="D16" s="48" t="s">
        <v>11</v>
      </c>
      <c r="E16" s="49">
        <v>88</v>
      </c>
      <c r="F16" s="49" t="str">
        <f t="shared" si="0"/>
        <v>Pass</v>
      </c>
      <c r="G16" s="50" t="str">
        <f t="shared" si="1"/>
        <v>Top</v>
      </c>
      <c r="H16" s="46"/>
    </row>
    <row r="17" spans="1:8">
      <c r="A17" s="46"/>
      <c r="B17" s="47">
        <v>115</v>
      </c>
      <c r="C17" s="49" t="s">
        <v>23</v>
      </c>
      <c r="D17" s="48" t="s">
        <v>7</v>
      </c>
      <c r="E17" s="49">
        <v>45</v>
      </c>
      <c r="F17" s="49" t="str">
        <f t="shared" si="0"/>
        <v>Pass</v>
      </c>
      <c r="G17" s="50" t="str">
        <f t="shared" si="1"/>
        <v>Average</v>
      </c>
      <c r="H17" s="46"/>
    </row>
    <row r="18" spans="1:8">
      <c r="A18" s="46"/>
      <c r="B18" s="47">
        <v>116</v>
      </c>
      <c r="C18" s="49" t="s">
        <v>24</v>
      </c>
      <c r="D18" s="48" t="s">
        <v>9</v>
      </c>
      <c r="E18" s="49">
        <v>66</v>
      </c>
      <c r="F18" s="49" t="str">
        <f t="shared" si="0"/>
        <v>Pass</v>
      </c>
      <c r="G18" s="50" t="str">
        <f t="shared" si="1"/>
        <v>Average</v>
      </c>
      <c r="H18" s="46"/>
    </row>
    <row r="19" spans="1:8">
      <c r="A19" s="46"/>
      <c r="B19" s="47">
        <v>117</v>
      </c>
      <c r="C19" s="49" t="s">
        <v>25</v>
      </c>
      <c r="D19" s="48" t="s">
        <v>7</v>
      </c>
      <c r="E19" s="49">
        <v>38</v>
      </c>
      <c r="F19" s="49" t="str">
        <f t="shared" si="0"/>
        <v>Fail</v>
      </c>
      <c r="G19" s="50" t="str">
        <f t="shared" si="1"/>
        <v>Weak</v>
      </c>
      <c r="H19" s="46"/>
    </row>
    <row r="20" spans="1:8">
      <c r="A20" s="46"/>
      <c r="B20" s="47">
        <v>118</v>
      </c>
      <c r="C20" s="49" t="s">
        <v>26</v>
      </c>
      <c r="D20" s="48" t="s">
        <v>9</v>
      </c>
      <c r="E20" s="49">
        <v>56</v>
      </c>
      <c r="F20" s="49" t="str">
        <f t="shared" si="0"/>
        <v>Pass</v>
      </c>
      <c r="G20" s="50" t="str">
        <f t="shared" si="1"/>
        <v>Average</v>
      </c>
      <c r="H20" s="46"/>
    </row>
    <row r="21" spans="1:8">
      <c r="A21" s="46"/>
      <c r="B21" s="47">
        <v>119</v>
      </c>
      <c r="C21" s="49" t="s">
        <v>13</v>
      </c>
      <c r="D21" s="48" t="s">
        <v>11</v>
      </c>
      <c r="E21" s="49">
        <v>77</v>
      </c>
      <c r="F21" s="49" t="str">
        <f t="shared" si="0"/>
        <v>Pass</v>
      </c>
      <c r="G21" s="50" t="str">
        <f t="shared" si="1"/>
        <v>Top</v>
      </c>
      <c r="H21" s="46"/>
    </row>
    <row r="22" spans="1:8">
      <c r="A22" s="46"/>
      <c r="B22" s="51">
        <v>120</v>
      </c>
      <c r="C22" s="52" t="s">
        <v>27</v>
      </c>
      <c r="D22" s="53" t="s">
        <v>7</v>
      </c>
      <c r="E22" s="52">
        <v>95</v>
      </c>
      <c r="F22" s="52" t="str">
        <f t="shared" si="0"/>
        <v>Pass</v>
      </c>
      <c r="G22" s="54" t="str">
        <f t="shared" si="1"/>
        <v>Top</v>
      </c>
      <c r="H22" s="46"/>
    </row>
    <row r="23" spans="1:8">
      <c r="A23" s="43"/>
      <c r="B23" s="44"/>
      <c r="C23" s="44"/>
      <c r="D23" s="44"/>
      <c r="E23" s="44"/>
      <c r="F23" s="44"/>
      <c r="G23" s="44"/>
      <c r="H23" s="4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CF61-3100-4CF9-AF7C-BF96F7989871}">
  <dimension ref="A2:J8"/>
  <sheetViews>
    <sheetView showGridLines="0" workbookViewId="0">
      <selection activeCell="G14" sqref="G14"/>
    </sheetView>
  </sheetViews>
  <sheetFormatPr defaultRowHeight="15"/>
  <cols>
    <col min="1" max="1" width="3" customWidth="1"/>
    <col min="2" max="2" width="11.42578125" bestFit="1" customWidth="1"/>
    <col min="3" max="3" width="16.5703125" bestFit="1" customWidth="1"/>
    <col min="5" max="5" width="18.42578125" bestFit="1" customWidth="1"/>
    <col min="6" max="6" width="23.42578125" bestFit="1" customWidth="1"/>
    <col min="8" max="8" width="20.5703125" bestFit="1" customWidth="1"/>
    <col min="9" max="9" width="25.5703125" bestFit="1" customWidth="1"/>
    <col min="10" max="10" width="2.5703125" customWidth="1"/>
  </cols>
  <sheetData>
    <row r="2" spans="1:10">
      <c r="A2" s="34"/>
      <c r="B2" s="28"/>
      <c r="C2" s="28"/>
      <c r="D2" s="28"/>
      <c r="E2" s="28"/>
      <c r="F2" s="28"/>
      <c r="G2" s="28"/>
      <c r="H2" s="28"/>
      <c r="I2" s="28"/>
      <c r="J2" s="37"/>
    </row>
    <row r="3" spans="1:10">
      <c r="A3" s="29"/>
      <c r="B3" s="39" t="s">
        <v>2</v>
      </c>
      <c r="C3" s="39" t="s">
        <v>28</v>
      </c>
      <c r="D3" s="33"/>
      <c r="E3" s="39" t="s">
        <v>4</v>
      </c>
      <c r="F3" s="39" t="s">
        <v>29</v>
      </c>
      <c r="G3" s="33"/>
      <c r="H3" s="39" t="s">
        <v>5</v>
      </c>
      <c r="I3" s="39" t="s">
        <v>30</v>
      </c>
      <c r="J3" s="31"/>
    </row>
    <row r="4" spans="1:10">
      <c r="A4" s="29"/>
      <c r="B4" s="40" t="s">
        <v>7</v>
      </c>
      <c r="C4" s="41">
        <v>58.5</v>
      </c>
      <c r="D4" s="30"/>
      <c r="E4" s="40" t="s">
        <v>31</v>
      </c>
      <c r="F4" s="41">
        <v>4</v>
      </c>
      <c r="G4" s="30"/>
      <c r="H4" s="40" t="s">
        <v>32</v>
      </c>
      <c r="I4" s="41">
        <v>8</v>
      </c>
      <c r="J4" s="31"/>
    </row>
    <row r="5" spans="1:10">
      <c r="A5" s="29"/>
      <c r="B5" s="40" t="s">
        <v>33</v>
      </c>
      <c r="C5" s="41">
        <v>58.5</v>
      </c>
      <c r="D5" s="30"/>
      <c r="E5" s="40" t="s">
        <v>34</v>
      </c>
      <c r="F5" s="41">
        <v>16</v>
      </c>
      <c r="G5" s="30"/>
      <c r="H5" s="40" t="s">
        <v>35</v>
      </c>
      <c r="I5" s="41">
        <v>8</v>
      </c>
      <c r="J5" s="31"/>
    </row>
    <row r="6" spans="1:10">
      <c r="A6" s="35"/>
      <c r="B6" s="30"/>
      <c r="C6" s="30"/>
      <c r="D6" s="30"/>
      <c r="E6" s="40" t="s">
        <v>33</v>
      </c>
      <c r="F6" s="41">
        <v>20</v>
      </c>
      <c r="G6" s="30"/>
      <c r="H6" s="40" t="s">
        <v>36</v>
      </c>
      <c r="I6" s="41">
        <v>4</v>
      </c>
      <c r="J6" s="31"/>
    </row>
    <row r="7" spans="1:10">
      <c r="A7" s="35"/>
      <c r="B7" s="30"/>
      <c r="C7" s="30"/>
      <c r="D7" s="30"/>
      <c r="E7" s="30"/>
      <c r="F7" s="30"/>
      <c r="G7" s="30"/>
      <c r="H7" s="40" t="s">
        <v>33</v>
      </c>
      <c r="I7" s="41">
        <v>20</v>
      </c>
      <c r="J7" s="31"/>
    </row>
    <row r="8" spans="1:10">
      <c r="A8" s="36"/>
      <c r="B8" s="32"/>
      <c r="C8" s="32"/>
      <c r="D8" s="32"/>
      <c r="E8" s="32"/>
      <c r="F8" s="32"/>
      <c r="G8" s="32"/>
      <c r="H8" s="32"/>
      <c r="I8" s="32"/>
      <c r="J8" s="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336B-97D8-460C-9B89-878E21C8A749}">
  <dimension ref="A1:U38"/>
  <sheetViews>
    <sheetView showGridLines="0" tabSelected="1" workbookViewId="0">
      <selection activeCell="W11" sqref="W11"/>
    </sheetView>
  </sheetViews>
  <sheetFormatPr defaultRowHeight="15"/>
  <cols>
    <col min="1" max="1" width="21.42578125" customWidth="1"/>
    <col min="14" max="14" width="11.42578125" hidden="1" customWidth="1"/>
    <col min="15" max="15" width="16.5703125" hidden="1" customWidth="1"/>
    <col min="17" max="17" width="18.42578125" hidden="1" customWidth="1"/>
    <col min="18" max="18" width="23.42578125" hidden="1" customWidth="1"/>
    <col min="19" max="19" width="0" hidden="1" customWidth="1"/>
    <col min="20" max="20" width="20.5703125" hidden="1" customWidth="1"/>
    <col min="21" max="21" width="25.5703125" hidden="1" customWidth="1"/>
  </cols>
  <sheetData>
    <row r="1" spans="1:21" ht="15" customHeight="1">
      <c r="A1" s="5" t="s">
        <v>37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21" ht="15" customHeight="1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21" ht="15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10"/>
    </row>
    <row r="4" spans="1:21" ht="15" customHeight="1">
      <c r="A4" s="14" t="s">
        <v>38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6"/>
    </row>
    <row r="5" spans="1:21" ht="15" customHeight="1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3"/>
    </row>
    <row r="6" spans="1:21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9"/>
    </row>
    <row r="7" spans="1:21" ht="16.5">
      <c r="A7" s="4" t="s">
        <v>39</v>
      </c>
      <c r="B7" s="20"/>
      <c r="C7" s="18"/>
      <c r="D7" s="18"/>
      <c r="E7" s="18"/>
      <c r="F7" s="18"/>
      <c r="G7" s="18"/>
      <c r="H7" s="18"/>
      <c r="I7" s="18"/>
      <c r="J7" s="18"/>
      <c r="K7" s="18"/>
      <c r="L7" s="19"/>
    </row>
    <row r="8" spans="1:21" ht="16.5">
      <c r="A8" s="21"/>
      <c r="B8" s="20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21" ht="16.5">
      <c r="A9" s="22" t="s">
        <v>40</v>
      </c>
      <c r="B9" s="23">
        <f>AVERAGE(Table1[Marks])</f>
        <v>63.9</v>
      </c>
      <c r="C9" s="18"/>
      <c r="D9" s="18"/>
      <c r="E9" s="18"/>
      <c r="F9" s="18"/>
      <c r="G9" s="18"/>
      <c r="H9" s="18"/>
      <c r="I9" s="18"/>
      <c r="J9" s="18"/>
      <c r="K9" s="18"/>
      <c r="L9" s="19"/>
    </row>
    <row r="10" spans="1:21" ht="16.5">
      <c r="A10" s="22" t="s">
        <v>41</v>
      </c>
      <c r="B10" s="23">
        <f>COUNTA(Table1[ID])</f>
        <v>20</v>
      </c>
      <c r="C10" s="18"/>
      <c r="D10" s="18"/>
      <c r="E10" s="18"/>
      <c r="F10" s="18"/>
      <c r="G10" s="18"/>
      <c r="H10" s="18"/>
      <c r="I10" s="18"/>
      <c r="J10" s="18"/>
      <c r="K10" s="18"/>
      <c r="L10" s="19"/>
    </row>
    <row r="11" spans="1:21" ht="16.5">
      <c r="A11" s="22" t="s">
        <v>42</v>
      </c>
      <c r="B11" s="24">
        <f>COUNTIF(Table1[],"Pass")/COUNTA(Table1[])</f>
        <v>0.13333333333333333</v>
      </c>
      <c r="C11" s="18"/>
      <c r="D11" s="18"/>
      <c r="E11" s="18"/>
      <c r="F11" s="18"/>
      <c r="G11" s="18"/>
      <c r="H11" s="18"/>
      <c r="I11" s="18"/>
      <c r="J11" s="18"/>
      <c r="K11" s="18"/>
      <c r="L11" s="19"/>
    </row>
    <row r="12" spans="1:21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9"/>
    </row>
    <row r="13" spans="1:21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9"/>
      <c r="N13" s="2" t="s">
        <v>2</v>
      </c>
      <c r="O13" t="s">
        <v>28</v>
      </c>
      <c r="Q13" s="2" t="s">
        <v>4</v>
      </c>
      <c r="R13" t="s">
        <v>29</v>
      </c>
      <c r="T13" s="2" t="s">
        <v>5</v>
      </c>
      <c r="U13" t="s">
        <v>30</v>
      </c>
    </row>
    <row r="14" spans="1:21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9"/>
      <c r="N14" t="s">
        <v>9</v>
      </c>
      <c r="O14" s="3">
        <v>59.285714285714285</v>
      </c>
      <c r="Q14" t="s">
        <v>31</v>
      </c>
      <c r="R14" s="3">
        <v>1</v>
      </c>
      <c r="T14" t="s">
        <v>32</v>
      </c>
      <c r="U14" s="3">
        <v>4</v>
      </c>
    </row>
    <row r="15" spans="1:21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"/>
      <c r="N15" t="s">
        <v>33</v>
      </c>
      <c r="O15" s="3">
        <v>59.285714285714285</v>
      </c>
      <c r="Q15" t="s">
        <v>34</v>
      </c>
      <c r="R15" s="3">
        <v>6</v>
      </c>
      <c r="T15" t="s">
        <v>35</v>
      </c>
      <c r="U15" s="3">
        <v>2</v>
      </c>
    </row>
    <row r="16" spans="1:21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9"/>
      <c r="Q16" t="s">
        <v>33</v>
      </c>
      <c r="R16" s="3">
        <v>7</v>
      </c>
      <c r="T16" t="s">
        <v>36</v>
      </c>
      <c r="U16" s="3">
        <v>1</v>
      </c>
    </row>
    <row r="17" spans="1:21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9"/>
      <c r="T17" t="s">
        <v>33</v>
      </c>
      <c r="U17" s="3">
        <v>7</v>
      </c>
    </row>
    <row r="18" spans="1:21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21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/>
    </row>
    <row r="20" spans="1:21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21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9"/>
    </row>
    <row r="22" spans="1:21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9"/>
    </row>
    <row r="23" spans="1:21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21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9"/>
    </row>
    <row r="25" spans="1:21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9"/>
    </row>
    <row r="26" spans="1:21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9"/>
    </row>
    <row r="27" spans="1:21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9"/>
    </row>
    <row r="28" spans="1:2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9"/>
    </row>
    <row r="29" spans="1:21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9"/>
    </row>
    <row r="30" spans="1:21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9"/>
    </row>
    <row r="31" spans="1:21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9"/>
    </row>
    <row r="32" spans="1:21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9"/>
    </row>
    <row r="33" spans="1:12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9"/>
    </row>
    <row r="34" spans="1:12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9"/>
    </row>
    <row r="35" spans="1:12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9"/>
    </row>
    <row r="36" spans="1:12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9"/>
    </row>
    <row r="37" spans="1:12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9"/>
    </row>
    <row r="38" spans="1:12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7"/>
    </row>
  </sheetData>
  <mergeCells count="2">
    <mergeCell ref="A4:L4"/>
    <mergeCell ref="A1:L3"/>
  </mergeCells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2026-04-29T20:18:02Z</dcterms:created>
  <dcterms:modified xsi:type="dcterms:W3CDTF">2026-04-29T21:27:39Z</dcterms:modified>
  <cp:category/>
  <cp:contentStatus/>
</cp:coreProperties>
</file>